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4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>
    <definedName name="_xlnm.Print_Area" localSheetId="0">'Sheet1'!$A$1:$I$24</definedName>
    <definedName name="_xlnm.Print_Area" localSheetId="1">'Sheet2'!$A$1:$I$47</definedName>
    <definedName name="_xlnm.Print_Area" localSheetId="2">'Sheet3'!$A$1:$I$24</definedName>
    <definedName name="_xlnm.Print_Area" localSheetId="3">'Sheet4'!$A$1:$I$47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 Black"/>
      <family val="2"/>
      <color theme="1"/>
      <sz val="12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rgb="FF0070C0"/>
      <sz val="14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E78E"/>
        <bgColor indexed="64"/>
      </patternFill>
    </fill>
  </fills>
  <borders count="2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0" fillId="0" borderId="0" pivotButton="0" quotePrefix="0" xfId="0"/>
    <xf numFmtId="0" fontId="5" fillId="5" borderId="0" applyAlignment="1" pivotButton="0" quotePrefix="0" xfId="0">
      <alignment horizontal="center"/>
    </xf>
    <xf numFmtId="14" fontId="0" fillId="0" borderId="0" pivotButton="0" quotePrefix="0" xfId="0"/>
    <xf numFmtId="0" fontId="0" fillId="0" borderId="15" pivotButton="0" quotePrefix="0" xfId="0"/>
    <xf numFmtId="0" fontId="5" fillId="5" borderId="14" applyAlignment="1" pivotButton="0" quotePrefix="0" xfId="0">
      <alignment horizontal="center"/>
    </xf>
    <xf numFmtId="164" fontId="1" fillId="0" borderId="16" applyAlignment="1" pivotButton="0" quotePrefix="0" xfId="0">
      <alignment horizontal="center"/>
    </xf>
    <xf numFmtId="0" fontId="0" fillId="0" borderId="14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2" fontId="1" fillId="0" borderId="5" pivotButton="0" quotePrefix="0" xfId="0"/>
    <xf numFmtId="2" fontId="6" fillId="0" borderId="8" applyAlignment="1" pivotButton="0" quotePrefix="0" xfId="0">
      <alignment horizontal="center"/>
    </xf>
    <xf numFmtId="2" fontId="6" fillId="0" borderId="11" applyAlignment="1" pivotButton="0" quotePrefix="0" xfId="0">
      <alignment horizontal="center"/>
    </xf>
    <xf numFmtId="2" fontId="6" fillId="0" borderId="4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4" applyAlignment="1" pivotButton="0" quotePrefix="0" xfId="0">
      <alignment horizontal="right"/>
    </xf>
    <xf numFmtId="2" fontId="0" fillId="0" borderId="0" pivotButton="0" quotePrefix="0" xfId="0"/>
    <xf numFmtId="0" fontId="0" fillId="6" borderId="14" applyAlignment="1" pivotButton="0" quotePrefix="0" xfId="0">
      <alignment horizontal="center"/>
    </xf>
    <xf numFmtId="0" fontId="0" fillId="0" borderId="0" pivotButton="0" quotePrefix="0" xfId="0"/>
    <xf numFmtId="0" fontId="9" fillId="0" borderId="1" pivotButton="0" quotePrefix="0" xfId="0"/>
    <xf numFmtId="0" fontId="9" fillId="0" borderId="17" pivotButton="0" quotePrefix="0" xfId="0"/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3" fillId="0" borderId="0" pivotButton="0" quotePrefix="0" xfId="0"/>
    <xf numFmtId="0" fontId="4" fillId="0" borderId="17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4" fontId="8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7" fillId="0" borderId="13" applyAlignment="1" pivotButton="0" quotePrefix="0" xfId="0">
      <alignment horizontal="center" vertical="top"/>
    </xf>
    <xf numFmtId="0" fontId="0" fillId="0" borderId="13" pivotButton="0" quotePrefix="0" xfId="0"/>
    <xf numFmtId="164" fontId="0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tabSelected="1" zoomScaleNormal="100" workbookViewId="0">
      <selection activeCell="L20" sqref="L20"/>
    </sheetView>
  </sheetViews>
  <sheetFormatPr baseColWidth="8" defaultRowHeight="15"/>
  <cols>
    <col width="6.7109375" customWidth="1" style="48" min="1" max="1"/>
    <col width="10.7109375" customWidth="1" style="48" min="2" max="5"/>
    <col width="10.7109375" customWidth="1" style="52" min="6" max="6"/>
    <col width="10.7109375" customWidth="1" style="48" min="7" max="8"/>
    <col width="12" bestFit="1" customWidth="1" style="48" min="9" max="9"/>
  </cols>
  <sheetData>
    <row r="1" ht="36" customHeight="1" s="48" thickBot="1">
      <c r="A1" s="53" t="inlineStr">
        <is>
          <t>CRS RP</t>
        </is>
      </c>
      <c r="B1" s="54" t="n"/>
      <c r="C1" s="54" t="n"/>
      <c r="D1" s="54" t="n"/>
      <c r="E1" s="54" t="n"/>
      <c r="F1" s="54" t="n"/>
      <c r="G1" s="54" t="n"/>
      <c r="H1" s="54" t="n"/>
      <c r="I1" s="16" t="inlineStr"/>
    </row>
    <row r="2" ht="20.1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20.1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20.1" customHeight="1" s="48">
      <c r="A4" s="5" t="n">
        <v>100</v>
      </c>
      <c r="B4" s="6" t="n">
        <v>1</v>
      </c>
      <c r="C4" s="7" t="n">
        <v>1</v>
      </c>
      <c r="D4" s="7" t="n">
        <v>1</v>
      </c>
      <c r="E4" s="2" t="n">
        <v>1</v>
      </c>
      <c r="F4" s="11">
        <f>SUM(B4:E4)/4</f>
        <v/>
      </c>
      <c r="G4" s="12">
        <f>-F4+H4</f>
        <v/>
      </c>
      <c r="H4" s="4" t="n">
        <v>100</v>
      </c>
    </row>
    <row r="5" ht="20.1" customHeight="1" s="48">
      <c r="A5" s="5" t="n">
        <v>95</v>
      </c>
      <c r="B5" s="6" t="n">
        <v>1</v>
      </c>
      <c r="C5" s="7" t="n">
        <v>1</v>
      </c>
      <c r="D5" s="7" t="n">
        <v>11</v>
      </c>
      <c r="E5" s="2" t="n">
        <v>1</v>
      </c>
      <c r="F5" s="11">
        <f>SUM(B5:E5)/4</f>
        <v/>
      </c>
      <c r="G5" s="12">
        <f>-F5+H5</f>
        <v/>
      </c>
      <c r="H5" s="4" t="n">
        <v>99</v>
      </c>
    </row>
    <row r="6" ht="20.1" customHeight="1" s="48">
      <c r="A6" s="5" t="n">
        <v>90</v>
      </c>
      <c r="B6" s="6" t="n">
        <v>1</v>
      </c>
      <c r="C6" s="7" t="n">
        <v>1</v>
      </c>
      <c r="D6" s="7" t="n">
        <v>1</v>
      </c>
      <c r="E6" s="2" t="n">
        <v>1</v>
      </c>
      <c r="F6" s="11">
        <f>SUM(B6:E6)/4</f>
        <v/>
      </c>
      <c r="G6" s="12">
        <f>-F6+H6</f>
        <v/>
      </c>
      <c r="H6" s="4" t="n">
        <v>97</v>
      </c>
    </row>
    <row r="7" ht="20.1" customHeight="1" s="48">
      <c r="A7" s="5" t="n">
        <v>80</v>
      </c>
      <c r="B7" s="6" t="n">
        <v>1</v>
      </c>
      <c r="C7" s="7" t="n">
        <v>1</v>
      </c>
      <c r="D7" s="7" t="n">
        <v>1</v>
      </c>
      <c r="E7" s="2" t="n">
        <v>1</v>
      </c>
      <c r="F7" s="11">
        <f>SUM(B7:E7)/4</f>
        <v/>
      </c>
      <c r="G7" s="12">
        <f>-F7+H7</f>
        <v/>
      </c>
      <c r="H7" s="4" t="n">
        <v>93</v>
      </c>
    </row>
    <row r="8" ht="20.1" customHeight="1" s="48">
      <c r="A8" s="5" t="n">
        <v>70</v>
      </c>
      <c r="B8" s="6" t="n">
        <v>1</v>
      </c>
      <c r="C8" s="7" t="n">
        <v>1</v>
      </c>
      <c r="D8" s="7" t="n">
        <v>1</v>
      </c>
      <c r="E8" s="2" t="n">
        <v>1</v>
      </c>
      <c r="F8" s="11">
        <f>SUM(B8:E8)/4</f>
        <v/>
      </c>
      <c r="G8" s="12">
        <f>-F8+H8</f>
        <v/>
      </c>
      <c r="H8" s="4" t="n">
        <v>88</v>
      </c>
    </row>
    <row r="9" ht="20.1" customHeight="1" s="48">
      <c r="A9" s="5" t="n">
        <v>60</v>
      </c>
      <c r="B9" s="6" t="n">
        <v>1</v>
      </c>
      <c r="C9" s="7" t="n">
        <v>1</v>
      </c>
      <c r="D9" s="7" t="n">
        <v>1</v>
      </c>
      <c r="E9" s="2" t="n">
        <v>1</v>
      </c>
      <c r="F9" s="11">
        <f>SUM(B9:E9)/4</f>
        <v/>
      </c>
      <c r="G9" s="12">
        <f>-F9+H9</f>
        <v/>
      </c>
      <c r="H9" s="4" t="n">
        <v>81</v>
      </c>
    </row>
    <row r="10" ht="20.1" customHeight="1" s="48">
      <c r="A10" s="5" t="n">
        <v>50</v>
      </c>
      <c r="B10" s="6" t="n">
        <v>1</v>
      </c>
      <c r="C10" s="7" t="n">
        <v>1</v>
      </c>
      <c r="D10" s="7" t="n">
        <v>1</v>
      </c>
      <c r="E10" s="2" t="n">
        <v>1</v>
      </c>
      <c r="F10" s="11">
        <f>SUM(B10:E10)/4</f>
        <v/>
      </c>
      <c r="G10" s="12">
        <f>-F10+H10</f>
        <v/>
      </c>
      <c r="H10" s="4" t="n">
        <v>72</v>
      </c>
    </row>
    <row r="11" ht="20.1" customHeight="1" s="48">
      <c r="A11" s="5" t="n">
        <v>40</v>
      </c>
      <c r="B11" s="6" t="n">
        <v>1</v>
      </c>
      <c r="C11" s="7" t="n">
        <v>1</v>
      </c>
      <c r="D11" s="7" t="n">
        <v>1</v>
      </c>
      <c r="E11" s="2" t="n">
        <v>1</v>
      </c>
      <c r="F11" s="11">
        <f>SUM(B11:E11)/4</f>
        <v/>
      </c>
      <c r="G11" s="12">
        <f>-F11+H11</f>
        <v/>
      </c>
      <c r="H11" s="4" t="n">
        <v>62</v>
      </c>
    </row>
    <row r="12" ht="20.1" customHeight="1" s="48">
      <c r="A12" s="5" t="n">
        <v>30</v>
      </c>
      <c r="B12" s="6" t="n">
        <v>1</v>
      </c>
      <c r="C12" s="7" t="n">
        <v>1</v>
      </c>
      <c r="D12" s="7" t="n">
        <v>1</v>
      </c>
      <c r="E12" s="2" t="n">
        <v>1</v>
      </c>
      <c r="F12" s="11">
        <f>SUM(B12:E12)/4</f>
        <v/>
      </c>
      <c r="G12" s="12">
        <f>-F12+H12</f>
        <v/>
      </c>
      <c r="H12" s="4" t="n">
        <v>51</v>
      </c>
    </row>
    <row r="13" ht="20.1" customHeight="1" s="48">
      <c r="A13" s="5" t="n">
        <v>20</v>
      </c>
      <c r="B13" s="6" t="n">
        <v>1</v>
      </c>
      <c r="C13" s="7" t="n">
        <v>1</v>
      </c>
      <c r="D13" s="7" t="n">
        <v>1</v>
      </c>
      <c r="E13" s="2" t="n">
        <v>1</v>
      </c>
      <c r="F13" s="11">
        <f>SUM(B13:E13)/4</f>
        <v/>
      </c>
      <c r="G13" s="12">
        <f>-F13+H13</f>
        <v/>
      </c>
      <c r="H13" s="4" t="n">
        <v>37</v>
      </c>
    </row>
    <row r="14" ht="20.1" customHeight="1" s="48">
      <c r="A14" s="5" t="n">
        <v>10</v>
      </c>
      <c r="B14" s="6" t="n">
        <v>1</v>
      </c>
      <c r="C14" s="7" t="n">
        <v>1</v>
      </c>
      <c r="D14" s="7" t="n">
        <v>1</v>
      </c>
      <c r="E14" s="2" t="n">
        <v>1</v>
      </c>
      <c r="F14" s="11">
        <f>SUM(B14:E14)/4</f>
        <v/>
      </c>
      <c r="G14" s="12">
        <f>-F14+H14</f>
        <v/>
      </c>
      <c r="H14" s="4" t="n">
        <v>22</v>
      </c>
    </row>
    <row r="15" ht="20.1" customHeight="1" s="48">
      <c r="A15" s="5" t="n">
        <v>5</v>
      </c>
      <c r="B15" s="6" t="n">
        <v>1</v>
      </c>
      <c r="C15" s="7" t="n">
        <v>1</v>
      </c>
      <c r="D15" s="7" t="n">
        <v>11</v>
      </c>
      <c r="E15" s="2" t="n">
        <v>1</v>
      </c>
      <c r="F15" s="11">
        <f>SUM(B15:E15)/4</f>
        <v/>
      </c>
      <c r="G15" s="12">
        <f>-F15+H15</f>
        <v/>
      </c>
      <c r="H15" s="4" t="n">
        <v>13</v>
      </c>
    </row>
    <row r="16" ht="20.1" customHeight="1" s="48">
      <c r="A16" s="5" t="n">
        <v>3</v>
      </c>
      <c r="B16" s="6" t="n">
        <v>11</v>
      </c>
      <c r="C16" s="7" t="n">
        <v>1</v>
      </c>
      <c r="D16" s="7" t="n">
        <v>1</v>
      </c>
      <c r="E16" s="2" t="n"/>
      <c r="F16" s="11">
        <f>SUM(B16:E16)/4</f>
        <v/>
      </c>
      <c r="G16" s="12">
        <f>-F16+H16</f>
        <v/>
      </c>
      <c r="H16" s="4" t="n">
        <v>9</v>
      </c>
    </row>
    <row r="17" ht="20.1" customHeight="1" s="48">
      <c r="A17" s="5" t="n">
        <v>1</v>
      </c>
      <c r="B17" s="6" t="n">
        <v>1</v>
      </c>
      <c r="C17" s="7" t="n">
        <v>1</v>
      </c>
      <c r="D17" s="7" t="n">
        <v>1</v>
      </c>
      <c r="E17" s="2" t="n">
        <v>1</v>
      </c>
      <c r="F17" s="11">
        <f>SUM(B17:E17)/4</f>
        <v/>
      </c>
      <c r="G17" s="12">
        <f>-F17+H17</f>
        <v/>
      </c>
      <c r="H17" s="4" t="n">
        <v>3</v>
      </c>
    </row>
    <row r="18" ht="20.1" customHeight="1" s="48">
      <c r="A18" s="5" t="n">
        <v>0.8</v>
      </c>
      <c r="B18" s="6" t="n"/>
      <c r="C18" s="2" t="n"/>
      <c r="D18" s="34" t="n"/>
      <c r="E18" s="35" t="n"/>
      <c r="F18" s="2">
        <f>SUM(B18:E18)/4</f>
        <v/>
      </c>
      <c r="G18" s="2">
        <f>-F18+H18</f>
        <v/>
      </c>
      <c r="H18" s="39" t="n">
        <v>2</v>
      </c>
    </row>
    <row r="19" ht="20.1" customHeight="1" s="48" thickBot="1">
      <c r="A19" s="40" t="n">
        <v>0.4</v>
      </c>
      <c r="B19" s="2" t="n"/>
      <c r="C19" s="36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5" customHeight="1" s="48">
      <c r="A20" s="50" t="inlineStr">
        <is>
          <t>120#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</t>
        </is>
      </c>
    </row>
    <row r="21" ht="15" customHeight="1" s="48"/>
    <row r="22" ht="15" customHeight="1" s="48"/>
    <row r="23"/>
    <row r="24"/>
  </sheetData>
  <mergeCells count="4">
    <mergeCell ref="I20:I24"/>
    <mergeCell ref="I2:I19"/>
    <mergeCell ref="A20:H24"/>
    <mergeCell ref="A1:H1"/>
  </mergeCells>
  <printOptions gridLines="1"/>
  <pageMargins left="0.5" right="0.5" top="0.75" bottom="0.75" header="0.3" footer="0.3"/>
  <pageSetup orientation="portrait" paperSize="9" scale="93" fitToHeight="0" fitToWidth="1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zoomScaleNormal="100" workbookViewId="0">
      <selection activeCell="B3" sqref="B3:E19"/>
    </sheetView>
  </sheetViews>
  <sheetFormatPr baseColWidth="8" defaultRowHeight="15"/>
  <cols>
    <col width="6.7109375" customWidth="1" style="48" min="1" max="1"/>
    <col width="10.7109375" customWidth="1" style="48" min="2" max="9"/>
  </cols>
  <sheetData>
    <row r="1" ht="32.1" customHeight="1" s="48" thickBot="1">
      <c r="A1" s="53" t="inlineStr">
        <is>
          <t>CRS RP</t>
        </is>
      </c>
      <c r="B1" s="54" t="n"/>
      <c r="C1" s="54" t="n"/>
      <c r="D1" s="54" t="n"/>
      <c r="E1" s="54" t="n"/>
      <c r="F1" s="54" t="n"/>
      <c r="G1" s="54" t="n"/>
      <c r="H1" s="54" t="n"/>
      <c r="I1" s="16" t="inlineStr"/>
    </row>
    <row r="2" ht="18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18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18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18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18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18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18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18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18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18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18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18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18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18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18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18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18" customHeight="1" s="48">
      <c r="A18" s="41" t="n">
        <v>0.8</v>
      </c>
      <c r="B18" s="6" t="n"/>
      <c r="C18" s="7" t="n"/>
      <c r="D18" s="7" t="n"/>
      <c r="E18" s="42" t="n"/>
      <c r="F18" s="2">
        <f>SUM(B18:E18)/4</f>
        <v/>
      </c>
      <c r="G18" s="2">
        <f>-F18+H18</f>
        <v/>
      </c>
      <c r="H18" s="39" t="n">
        <v>2</v>
      </c>
    </row>
    <row r="19" ht="18" customHeight="1" s="48" thickBot="1">
      <c r="A19" s="41" t="n">
        <v>0.4</v>
      </c>
      <c r="B19" s="43" t="n"/>
      <c r="C19" s="37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8" customHeight="1" s="48">
      <c r="A20" s="50" t="inlineStr">
        <is>
          <t>150#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 502</t>
        </is>
      </c>
    </row>
    <row r="21" ht="18" customHeight="1" s="48"/>
    <row r="22" ht="32.1" customHeight="1" s="48" thickBot="1"/>
    <row r="23" ht="18" customHeight="1" s="48"/>
    <row r="24" ht="18" customFormat="1" customHeight="1" s="49" thickBot="1"/>
    <row r="25" ht="18" customHeight="1" s="48">
      <c r="A25" s="17" t="n"/>
      <c r="B25" s="8" t="inlineStr">
        <is>
          <t>C</t>
        </is>
      </c>
      <c r="C25" s="9" t="inlineStr">
        <is>
          <t>M</t>
        </is>
      </c>
      <c r="D25" s="10" t="inlineStr">
        <is>
          <t>Y</t>
        </is>
      </c>
      <c r="E25" s="18" t="inlineStr">
        <is>
          <t>K</t>
        </is>
      </c>
      <c r="F25" s="19" t="inlineStr">
        <is>
          <t>Average%</t>
        </is>
      </c>
      <c r="G25" s="30" t="inlineStr">
        <is>
          <t>Difference</t>
        </is>
      </c>
      <c r="H25" s="20" t="inlineStr">
        <is>
          <t>Ideal %</t>
        </is>
      </c>
    </row>
    <row r="26" ht="18" customHeight="1" s="48">
      <c r="A26" s="23" t="n"/>
      <c r="B26" s="24" t="n"/>
      <c r="C26" s="25" t="n"/>
      <c r="D26" s="25" t="n"/>
      <c r="E26" s="26" t="n"/>
      <c r="F26" s="27" t="n"/>
      <c r="G26" s="22" t="n"/>
      <c r="H26" s="28" t="n"/>
    </row>
    <row r="27" ht="18" customHeight="1" s="48">
      <c r="A27" s="5" t="n">
        <v>100</v>
      </c>
      <c r="B27" s="6" t="n"/>
      <c r="C27" s="7" t="n"/>
      <c r="D27" s="7" t="n"/>
      <c r="E27" s="2" t="n"/>
      <c r="F27" s="11">
        <f>SUM(B25:E25)/4</f>
        <v/>
      </c>
      <c r="G27" s="12">
        <f>-F27+H27</f>
        <v/>
      </c>
      <c r="H27" s="4" t="n">
        <v>100</v>
      </c>
    </row>
    <row r="28" ht="18" customHeight="1" s="48">
      <c r="A28" s="5" t="n">
        <v>95</v>
      </c>
      <c r="B28" s="6" t="n"/>
      <c r="C28" s="7" t="n"/>
      <c r="D28" s="7" t="n"/>
      <c r="E28" s="2" t="n"/>
      <c r="F28" s="11">
        <f>SUM(B26:E26)/4</f>
        <v/>
      </c>
      <c r="G28" s="12">
        <f>-F28+H28</f>
        <v/>
      </c>
      <c r="H28" s="4" t="n">
        <v>99</v>
      </c>
    </row>
    <row r="29" ht="18" customHeight="1" s="48">
      <c r="A29" s="5" t="n">
        <v>90</v>
      </c>
      <c r="B29" s="6" t="n"/>
      <c r="C29" s="7" t="n"/>
      <c r="D29" s="7" t="n"/>
      <c r="E29" s="2" t="n"/>
      <c r="F29" s="11">
        <f>SUM(B27:E27)/4</f>
        <v/>
      </c>
      <c r="G29" s="12">
        <f>-F29+H29</f>
        <v/>
      </c>
      <c r="H29" s="4" t="n">
        <v>97</v>
      </c>
    </row>
    <row r="30" ht="18" customHeight="1" s="48">
      <c r="A30" s="5" t="n">
        <v>80</v>
      </c>
      <c r="B30" s="6" t="n"/>
      <c r="C30" s="7" t="n"/>
      <c r="D30" s="7" t="n"/>
      <c r="E30" s="2" t="n"/>
      <c r="F30" s="11">
        <f>SUM(B28:E28)/4</f>
        <v/>
      </c>
      <c r="G30" s="12">
        <f>-F30+H30</f>
        <v/>
      </c>
      <c r="H30" s="4" t="n">
        <v>93</v>
      </c>
    </row>
    <row r="31" ht="18" customHeight="1" s="48">
      <c r="A31" s="5" t="n">
        <v>70</v>
      </c>
      <c r="B31" s="6" t="n"/>
      <c r="C31" s="7" t="n"/>
      <c r="D31" s="7" t="n"/>
      <c r="E31" s="2" t="n"/>
      <c r="F31" s="11">
        <f>SUM(B29:E29)/4</f>
        <v/>
      </c>
      <c r="G31" s="12">
        <f>-F31+H31</f>
        <v/>
      </c>
      <c r="H31" s="4" t="n">
        <v>88</v>
      </c>
    </row>
    <row r="32" ht="18" customHeight="1" s="48">
      <c r="A32" s="5" t="n">
        <v>60</v>
      </c>
      <c r="B32" s="6" t="n"/>
      <c r="C32" s="7" t="n"/>
      <c r="D32" s="7" t="n"/>
      <c r="E32" s="2" t="n"/>
      <c r="F32" s="11">
        <f>SUM(B30:E30)/4</f>
        <v/>
      </c>
      <c r="G32" s="12">
        <f>-F32+H32</f>
        <v/>
      </c>
      <c r="H32" s="4" t="n">
        <v>81</v>
      </c>
    </row>
    <row r="33" ht="18" customHeight="1" s="48">
      <c r="A33" s="5" t="n">
        <v>50</v>
      </c>
      <c r="B33" s="6" t="n"/>
      <c r="C33" s="7" t="n"/>
      <c r="D33" s="7" t="n"/>
      <c r="E33" s="2" t="n"/>
      <c r="F33" s="11">
        <f>SUM(B31:E31)/4</f>
        <v/>
      </c>
      <c r="G33" s="12">
        <f>-F33+H33</f>
        <v/>
      </c>
      <c r="H33" s="4" t="n">
        <v>72</v>
      </c>
    </row>
    <row r="34" ht="18" customHeight="1" s="48">
      <c r="A34" s="5" t="n">
        <v>40</v>
      </c>
      <c r="B34" s="6" t="n"/>
      <c r="C34" s="7" t="n"/>
      <c r="D34" s="7" t="n"/>
      <c r="E34" s="2" t="n"/>
      <c r="F34" s="11">
        <f>SUM(B32:E32)/4</f>
        <v/>
      </c>
      <c r="G34" s="12">
        <f>-F34+H34</f>
        <v/>
      </c>
      <c r="H34" s="4" t="n">
        <v>62</v>
      </c>
    </row>
    <row r="35" ht="18" customHeight="1" s="48">
      <c r="A35" s="5" t="n">
        <v>30</v>
      </c>
      <c r="B35" s="6" t="n"/>
      <c r="C35" s="7" t="n"/>
      <c r="D35" s="7" t="n"/>
      <c r="E35" s="2" t="n"/>
      <c r="F35" s="11">
        <f>SUM(B33:E33)/4</f>
        <v/>
      </c>
      <c r="G35" s="12">
        <f>-F35+H35</f>
        <v/>
      </c>
      <c r="H35" s="4" t="n">
        <v>51</v>
      </c>
    </row>
    <row r="36" ht="18" customHeight="1" s="48">
      <c r="A36" s="5" t="n">
        <v>20</v>
      </c>
      <c r="B36" s="6" t="n"/>
      <c r="C36" s="7" t="n"/>
      <c r="D36" s="7" t="n"/>
      <c r="E36" s="2" t="n"/>
      <c r="F36" s="11">
        <f>SUM(B34:E34)/4</f>
        <v/>
      </c>
      <c r="G36" s="12">
        <f>-F36+H36</f>
        <v/>
      </c>
      <c r="H36" s="4" t="n">
        <v>37</v>
      </c>
    </row>
    <row r="37" ht="18" customHeight="1" s="48">
      <c r="A37" s="5" t="n">
        <v>10</v>
      </c>
      <c r="B37" s="6" t="n"/>
      <c r="C37" s="7" t="n"/>
      <c r="D37" s="7" t="n"/>
      <c r="E37" s="2" t="n"/>
      <c r="F37" s="11">
        <f>SUM(B35:E35)/4</f>
        <v/>
      </c>
      <c r="G37" s="12">
        <f>-F37+H37</f>
        <v/>
      </c>
      <c r="H37" s="4" t="n">
        <v>22</v>
      </c>
    </row>
    <row r="38" ht="18" customHeight="1" s="48" thickBot="1">
      <c r="A38" s="5" t="n">
        <v>5</v>
      </c>
      <c r="B38" s="6" t="n"/>
      <c r="C38" s="7" t="n"/>
      <c r="D38" s="7" t="n"/>
      <c r="E38" s="2" t="n"/>
      <c r="F38" s="11">
        <f>SUM(B36:E36)/4</f>
        <v/>
      </c>
      <c r="G38" s="12">
        <f>-F38+H38</f>
        <v/>
      </c>
      <c r="H38" s="4" t="n">
        <v>13</v>
      </c>
    </row>
    <row r="39" ht="18" customHeight="1" s="48">
      <c r="A39" s="5" t="n">
        <v>3</v>
      </c>
      <c r="B39" s="6" t="n"/>
      <c r="C39" s="7" t="n"/>
      <c r="D39" s="7" t="n"/>
      <c r="E39" s="2" t="n"/>
      <c r="F39" s="11">
        <f>SUM(B37:E37)/4</f>
        <v/>
      </c>
      <c r="G39" s="12">
        <f>-F39+H39</f>
        <v/>
      </c>
      <c r="H39" s="4" t="n">
        <v>9</v>
      </c>
    </row>
    <row r="40" ht="18" customHeight="1" s="48">
      <c r="A40" s="5" t="n">
        <v>1</v>
      </c>
      <c r="B40" s="6" t="n"/>
      <c r="C40" s="7" t="n"/>
      <c r="D40" s="7" t="n"/>
      <c r="E40" s="2" t="n"/>
      <c r="F40" s="11">
        <f>SUM(B38:E38)/4</f>
        <v/>
      </c>
      <c r="G40" s="12">
        <f>-F40+H40</f>
        <v/>
      </c>
      <c r="H40" s="4" t="n">
        <v>3</v>
      </c>
    </row>
    <row r="41" ht="18" customHeight="1" s="48">
      <c r="A41" s="32" t="n">
        <v>0.8</v>
      </c>
      <c r="B41" s="45" t="n"/>
      <c r="C41" s="7" t="n"/>
      <c r="D41" s="7" t="n"/>
      <c r="E41" s="42" t="n"/>
      <c r="F41" s="2">
        <f>SUM(B41:E41)/4</f>
        <v/>
      </c>
      <c r="G41" s="12">
        <f>-F41+H41</f>
        <v/>
      </c>
      <c r="H41" s="39" t="n">
        <v>2</v>
      </c>
    </row>
    <row r="42" ht="18" customHeight="1" s="48" thickBot="1">
      <c r="A42" s="33" t="n">
        <v>0.4</v>
      </c>
      <c r="B42" s="46" t="n"/>
      <c r="C42" s="37" t="n"/>
      <c r="D42" s="37" t="n"/>
      <c r="E42" s="44" t="n"/>
      <c r="F42" s="2">
        <f>SUM(B42:E42)/4</f>
        <v/>
      </c>
      <c r="G42" s="12">
        <f>-F42+H42</f>
        <v/>
      </c>
      <c r="H42" s="39" t="n">
        <v>1</v>
      </c>
    </row>
    <row r="43">
      <c r="A43" s="50" t="inlineStr">
        <is>
          <t>200#</t>
        </is>
      </c>
      <c r="B43" s="51" t="n"/>
      <c r="C43" s="51" t="n"/>
      <c r="D43" s="51" t="n"/>
      <c r="E43" s="51" t="n"/>
      <c r="F43" s="51" t="n"/>
      <c r="G43" s="51" t="n"/>
      <c r="H43" s="51" t="n"/>
      <c r="I43" s="47" t="inlineStr">
        <is>
          <t>CRS 502</t>
        </is>
      </c>
    </row>
    <row r="44"/>
    <row r="45"/>
    <row r="46"/>
    <row r="47"/>
  </sheetData>
  <mergeCells count="7">
    <mergeCell ref="I43:I47"/>
    <mergeCell ref="A43:H47"/>
    <mergeCell ref="A20:H24"/>
    <mergeCell ref="I25:I42"/>
    <mergeCell ref="A1:H1"/>
    <mergeCell ref="I20:I24"/>
    <mergeCell ref="I2:I19"/>
  </mergeCells>
  <printOptions gridLines="1"/>
  <pageMargins left="0.5" right="0.5" top="0.75" bottom="0.75" header="0.3" footer="0.3"/>
  <pageSetup orientation="portrait" paperSize="9" scale="94" fitToHeight="0" fitToWidth="1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topLeftCell="A4" zoomScaleNormal="100" workbookViewId="0">
      <selection activeCell="B3" sqref="B3:E19"/>
    </sheetView>
  </sheetViews>
  <sheetFormatPr baseColWidth="8" defaultRowHeight="15"/>
  <cols>
    <col width="6.7109375" customWidth="1" style="48" min="1" max="1"/>
    <col width="10.7109375" customWidth="1" style="48" min="2" max="5"/>
    <col width="10.7109375" customWidth="1" style="52" min="6" max="6"/>
    <col width="10.7109375" customWidth="1" style="48" min="7" max="8"/>
    <col width="12" bestFit="1" customWidth="1" style="48" min="9" max="9"/>
    <col width="9.140625" customWidth="1" style="48" min="10" max="16384"/>
  </cols>
  <sheetData>
    <row r="1" ht="36" customHeight="1" s="48" thickBot="1">
      <c r="A1" s="53" t="inlineStr">
        <is>
          <t>DFC Packaging CRS XPS RP</t>
        </is>
      </c>
      <c r="B1" s="54" t="n"/>
      <c r="C1" s="54" t="n"/>
      <c r="D1" s="54" t="n"/>
      <c r="E1" s="54" t="n"/>
      <c r="F1" s="54" t="n"/>
      <c r="G1" s="54" t="n"/>
      <c r="H1" s="54" t="n"/>
      <c r="I1" s="16" t="n">
        <v>46063</v>
      </c>
    </row>
    <row r="2" ht="20.1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20.1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20.1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20.1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20.1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20.1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20.1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20.1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20.1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20.1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20.1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20.1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20.1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20.1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20.1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20.1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20.1" customHeight="1" s="48">
      <c r="A18" s="5" t="n">
        <v>0.8</v>
      </c>
      <c r="B18" s="6" t="n"/>
      <c r="C18" s="2" t="n"/>
      <c r="D18" s="34" t="n"/>
      <c r="E18" s="35" t="n"/>
      <c r="F18" s="2">
        <f>SUM(B18:E18)/4</f>
        <v/>
      </c>
      <c r="G18" s="2">
        <f>-F18+H18</f>
        <v/>
      </c>
      <c r="H18" s="39" t="n">
        <v>2</v>
      </c>
    </row>
    <row r="19" ht="20.1" customHeight="1" s="48" thickBot="1">
      <c r="A19" s="40" t="n">
        <v>0.4</v>
      </c>
      <c r="B19" s="2" t="n"/>
      <c r="C19" s="36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5" customHeight="1" s="48">
      <c r="A20" s="50" t="inlineStr">
        <is>
          <t>120#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 504</t>
        </is>
      </c>
    </row>
    <row r="21" ht="15" customHeight="1" s="48"/>
    <row r="22" ht="15" customHeight="1" s="48"/>
    <row r="23"/>
    <row r="24"/>
  </sheetData>
  <mergeCells count="4">
    <mergeCell ref="I20:I24"/>
    <mergeCell ref="I2:I19"/>
    <mergeCell ref="A20:H24"/>
    <mergeCell ref="A1:H1"/>
  </mergeCells>
  <printOptions gridLines="1"/>
  <pageMargins left="0.5" right="0.5" top="0.75" bottom="0.75" header="0.3" footer="0.3"/>
  <pageSetup orientation="portrait" paperSize="9" scale="93" fitToHeight="0" fitToWidth="1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topLeftCell="A17" zoomScaleNormal="100" workbookViewId="0">
      <selection activeCell="B26" sqref="B26:E42"/>
    </sheetView>
  </sheetViews>
  <sheetFormatPr baseColWidth="8" defaultRowHeight="15"/>
  <cols>
    <col width="6.7109375" customWidth="1" style="48" min="1" max="1"/>
    <col width="10.7109375" customWidth="1" style="48" min="2" max="9"/>
    <col width="9.140625" customWidth="1" style="48" min="10" max="16384"/>
  </cols>
  <sheetData>
    <row r="1" ht="32.1" customHeight="1" s="48" thickBot="1">
      <c r="A1" s="53" t="inlineStr">
        <is>
          <t>DFC Packaging CRS XPS RP</t>
        </is>
      </c>
      <c r="B1" s="54" t="n"/>
      <c r="C1" s="54" t="n"/>
      <c r="D1" s="54" t="n"/>
      <c r="E1" s="54" t="n"/>
      <c r="F1" s="54" t="n"/>
      <c r="G1" s="54" t="n"/>
      <c r="H1" s="54" t="n"/>
      <c r="I1" s="16" t="n">
        <v>46063</v>
      </c>
    </row>
    <row r="2" ht="18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18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18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18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18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18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18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18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18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18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18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18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18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18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18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18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18" customHeight="1" s="48">
      <c r="A18" s="41" t="n">
        <v>0.8</v>
      </c>
      <c r="B18" s="6" t="n"/>
      <c r="C18" s="7" t="n"/>
      <c r="D18" s="7" t="n"/>
      <c r="E18" s="42" t="n"/>
      <c r="F18" s="2">
        <f>SUM(B18:E18)/4</f>
        <v/>
      </c>
      <c r="G18" s="2">
        <f>-F18+H18</f>
        <v/>
      </c>
      <c r="H18" s="39" t="n">
        <v>2</v>
      </c>
    </row>
    <row r="19" ht="18" customHeight="1" s="48" thickBot="1">
      <c r="A19" s="41" t="n">
        <v>0.4</v>
      </c>
      <c r="B19" s="43" t="n"/>
      <c r="C19" s="37" t="n"/>
      <c r="D19" s="37" t="n"/>
      <c r="E19" s="44" t="n"/>
      <c r="F19" s="2">
        <f>SUM(B19:E19)/4</f>
        <v/>
      </c>
      <c r="G19" s="2">
        <f>-F19+H19</f>
        <v/>
      </c>
      <c r="H19" s="39" t="n">
        <v>1</v>
      </c>
    </row>
    <row r="20" ht="18" customHeight="1" s="48">
      <c r="A20" s="50" t="inlineStr">
        <is>
          <t>150#</t>
        </is>
      </c>
      <c r="B20" s="51" t="n"/>
      <c r="C20" s="51" t="n"/>
      <c r="D20" s="51" t="n"/>
      <c r="E20" s="51" t="n"/>
      <c r="F20" s="51" t="n"/>
      <c r="G20" s="51" t="n"/>
      <c r="H20" s="51" t="n"/>
      <c r="I20" s="47" t="inlineStr">
        <is>
          <t>CRS 504</t>
        </is>
      </c>
    </row>
    <row r="21" ht="18" customHeight="1" s="48"/>
    <row r="22" ht="32.1" customHeight="1" s="48"/>
    <row r="23" ht="18" customHeight="1" s="48"/>
    <row r="24" ht="18" customFormat="1" customHeight="1" s="49" thickBot="1"/>
    <row r="25" ht="18" customHeight="1" s="48">
      <c r="A25" s="17" t="n"/>
      <c r="B25" s="8" t="inlineStr">
        <is>
          <t>C</t>
        </is>
      </c>
      <c r="C25" s="9" t="inlineStr">
        <is>
          <t>M</t>
        </is>
      </c>
      <c r="D25" s="10" t="inlineStr">
        <is>
          <t>Y</t>
        </is>
      </c>
      <c r="E25" s="18" t="inlineStr">
        <is>
          <t>K</t>
        </is>
      </c>
      <c r="F25" s="19" t="inlineStr">
        <is>
          <t>Average%</t>
        </is>
      </c>
      <c r="G25" s="30" t="inlineStr">
        <is>
          <t>Difference</t>
        </is>
      </c>
      <c r="H25" s="20" t="inlineStr">
        <is>
          <t>Ideal %</t>
        </is>
      </c>
    </row>
    <row r="26" ht="18" customHeight="1" s="48" thickBot="1">
      <c r="A26" s="23" t="n"/>
      <c r="B26" s="24" t="n"/>
      <c r="C26" s="25" t="n"/>
      <c r="D26" s="25" t="n"/>
      <c r="E26" s="26" t="n"/>
      <c r="F26" s="27" t="n"/>
      <c r="G26" s="22" t="n"/>
      <c r="H26" s="28" t="n"/>
    </row>
    <row r="27" ht="18" customHeight="1" s="48">
      <c r="A27" s="5" t="n">
        <v>100</v>
      </c>
      <c r="B27" s="6" t="n"/>
      <c r="C27" s="7" t="n"/>
      <c r="D27" s="7" t="n"/>
      <c r="E27" s="2" t="n"/>
      <c r="F27" s="11">
        <f>SUM(B25:E25)/4</f>
        <v/>
      </c>
      <c r="G27" s="12">
        <f>-F27+H27</f>
        <v/>
      </c>
      <c r="H27" s="4" t="n">
        <v>100</v>
      </c>
    </row>
    <row r="28" ht="18" customHeight="1" s="48">
      <c r="A28" s="5" t="n">
        <v>95</v>
      </c>
      <c r="B28" s="6" t="n"/>
      <c r="C28" s="7" t="n"/>
      <c r="D28" s="7" t="n"/>
      <c r="E28" s="2" t="n"/>
      <c r="F28" s="11">
        <f>SUM(B26:E26)/4</f>
        <v/>
      </c>
      <c r="G28" s="12">
        <f>-F28+H28</f>
        <v/>
      </c>
      <c r="H28" s="4" t="n">
        <v>99</v>
      </c>
    </row>
    <row r="29" ht="18" customHeight="1" s="48">
      <c r="A29" s="5" t="n">
        <v>90</v>
      </c>
      <c r="B29" s="6" t="n"/>
      <c r="C29" s="7" t="n"/>
      <c r="D29" s="7" t="n"/>
      <c r="E29" s="2" t="n"/>
      <c r="F29" s="11">
        <f>SUM(B27:E27)/4</f>
        <v/>
      </c>
      <c r="G29" s="12">
        <f>-F29+H29</f>
        <v/>
      </c>
      <c r="H29" s="4" t="n">
        <v>97</v>
      </c>
    </row>
    <row r="30" ht="18" customHeight="1" s="48">
      <c r="A30" s="5" t="n">
        <v>80</v>
      </c>
      <c r="B30" s="6" t="n"/>
      <c r="C30" s="7" t="n"/>
      <c r="D30" s="7" t="n"/>
      <c r="E30" s="2" t="n"/>
      <c r="F30" s="11">
        <f>SUM(B28:E28)/4</f>
        <v/>
      </c>
      <c r="G30" s="12">
        <f>-F30+H30</f>
        <v/>
      </c>
      <c r="H30" s="4" t="n">
        <v>93</v>
      </c>
    </row>
    <row r="31" ht="18" customHeight="1" s="48">
      <c r="A31" s="5" t="n">
        <v>70</v>
      </c>
      <c r="B31" s="6" t="n"/>
      <c r="C31" s="7" t="n"/>
      <c r="D31" s="7" t="n"/>
      <c r="E31" s="2" t="n"/>
      <c r="F31" s="11">
        <f>SUM(B29:E29)/4</f>
        <v/>
      </c>
      <c r="G31" s="12">
        <f>-F31+H31</f>
        <v/>
      </c>
      <c r="H31" s="4" t="n">
        <v>88</v>
      </c>
    </row>
    <row r="32" ht="18" customHeight="1" s="48">
      <c r="A32" s="5" t="n">
        <v>60</v>
      </c>
      <c r="B32" s="6" t="n"/>
      <c r="C32" s="7" t="n"/>
      <c r="D32" s="7" t="n"/>
      <c r="E32" s="2" t="n"/>
      <c r="F32" s="11">
        <f>SUM(B30:E30)/4</f>
        <v/>
      </c>
      <c r="G32" s="12">
        <f>-F32+H32</f>
        <v/>
      </c>
      <c r="H32" s="4" t="n">
        <v>81</v>
      </c>
    </row>
    <row r="33" ht="18" customHeight="1" s="48">
      <c r="A33" s="5" t="n">
        <v>50</v>
      </c>
      <c r="B33" s="6" t="n"/>
      <c r="C33" s="7" t="n"/>
      <c r="D33" s="7" t="n"/>
      <c r="E33" s="2" t="n"/>
      <c r="F33" s="11">
        <f>SUM(B31:E31)/4</f>
        <v/>
      </c>
      <c r="G33" s="12">
        <f>-F33+H33</f>
        <v/>
      </c>
      <c r="H33" s="4" t="n">
        <v>72</v>
      </c>
    </row>
    <row r="34" ht="18" customHeight="1" s="48">
      <c r="A34" s="5" t="n">
        <v>40</v>
      </c>
      <c r="B34" s="6" t="n"/>
      <c r="C34" s="7" t="n"/>
      <c r="D34" s="7" t="n"/>
      <c r="E34" s="2" t="n"/>
      <c r="F34" s="11">
        <f>SUM(B32:E32)/4</f>
        <v/>
      </c>
      <c r="G34" s="12">
        <f>-F34+H34</f>
        <v/>
      </c>
      <c r="H34" s="4" t="n">
        <v>62</v>
      </c>
    </row>
    <row r="35" ht="18" customHeight="1" s="48">
      <c r="A35" s="5" t="n">
        <v>30</v>
      </c>
      <c r="B35" s="6" t="n"/>
      <c r="C35" s="7" t="n"/>
      <c r="D35" s="7" t="n"/>
      <c r="E35" s="2" t="n"/>
      <c r="F35" s="11">
        <f>SUM(B33:E33)/4</f>
        <v/>
      </c>
      <c r="G35" s="12">
        <f>-F35+H35</f>
        <v/>
      </c>
      <c r="H35" s="4" t="n">
        <v>51</v>
      </c>
    </row>
    <row r="36" ht="18" customHeight="1" s="48">
      <c r="A36" s="5" t="n">
        <v>20</v>
      </c>
      <c r="B36" s="6" t="n"/>
      <c r="C36" s="7" t="n"/>
      <c r="D36" s="7" t="n"/>
      <c r="E36" s="2" t="n"/>
      <c r="F36" s="11">
        <f>SUM(B34:E34)/4</f>
        <v/>
      </c>
      <c r="G36" s="12">
        <f>-F36+H36</f>
        <v/>
      </c>
      <c r="H36" s="4" t="n">
        <v>37</v>
      </c>
    </row>
    <row r="37" ht="18" customHeight="1" s="48">
      <c r="A37" s="5" t="n">
        <v>10</v>
      </c>
      <c r="B37" s="6" t="n"/>
      <c r="C37" s="7" t="n"/>
      <c r="D37" s="7" t="n"/>
      <c r="E37" s="2" t="n"/>
      <c r="F37" s="11">
        <f>SUM(B35:E35)/4</f>
        <v/>
      </c>
      <c r="G37" s="12">
        <f>-F37+H37</f>
        <v/>
      </c>
      <c r="H37" s="4" t="n">
        <v>22</v>
      </c>
    </row>
    <row r="38" ht="18" customHeight="1" s="48">
      <c r="A38" s="5" t="n">
        <v>5</v>
      </c>
      <c r="B38" s="6" t="n"/>
      <c r="C38" s="7" t="n"/>
      <c r="D38" s="7" t="n"/>
      <c r="E38" s="2" t="n"/>
      <c r="F38" s="11">
        <f>SUM(B36:E36)/4</f>
        <v/>
      </c>
      <c r="G38" s="12">
        <f>-F38+H38</f>
        <v/>
      </c>
      <c r="H38" s="4" t="n">
        <v>13</v>
      </c>
    </row>
    <row r="39" ht="18" customHeight="1" s="48">
      <c r="A39" s="5" t="n">
        <v>3</v>
      </c>
      <c r="B39" s="6" t="n"/>
      <c r="C39" s="7" t="n"/>
      <c r="D39" s="7" t="n"/>
      <c r="E39" s="2" t="n"/>
      <c r="F39" s="11">
        <f>SUM(B37:E37)/4</f>
        <v/>
      </c>
      <c r="G39" s="12">
        <f>-F39+H39</f>
        <v/>
      </c>
      <c r="H39" s="4" t="n">
        <v>9</v>
      </c>
    </row>
    <row r="40" ht="18" customHeight="1" s="48">
      <c r="A40" s="5" t="n">
        <v>1</v>
      </c>
      <c r="B40" s="6" t="n"/>
      <c r="C40" s="7" t="n"/>
      <c r="D40" s="7" t="n"/>
      <c r="E40" s="2" t="n"/>
      <c r="F40" s="11">
        <f>SUM(B38:E38)/4</f>
        <v/>
      </c>
      <c r="G40" s="12">
        <f>-F40+H40</f>
        <v/>
      </c>
      <c r="H40" s="4" t="n">
        <v>3</v>
      </c>
    </row>
    <row r="41" ht="18" customHeight="1" s="48">
      <c r="A41" s="32" t="n">
        <v>0.8</v>
      </c>
      <c r="B41" s="45" t="n"/>
      <c r="C41" s="7" t="n"/>
      <c r="D41" s="7" t="n"/>
      <c r="E41" s="42" t="n"/>
      <c r="F41" s="2">
        <f>SUM(B41:E41)/4</f>
        <v/>
      </c>
      <c r="G41" s="12">
        <f>-F41+H41</f>
        <v/>
      </c>
      <c r="H41" s="39" t="n">
        <v>2</v>
      </c>
    </row>
    <row r="42" ht="18" customHeight="1" s="48" thickBot="1">
      <c r="A42" s="33" t="n">
        <v>0.4</v>
      </c>
      <c r="B42" s="46" t="n"/>
      <c r="C42" s="37" t="n"/>
      <c r="D42" s="37" t="n"/>
      <c r="E42" s="44" t="n"/>
      <c r="F42" s="2">
        <f>SUM(B42:E42)/4</f>
        <v/>
      </c>
      <c r="G42" s="12">
        <f>-F42+H42</f>
        <v/>
      </c>
      <c r="H42" s="39" t="n">
        <v>1</v>
      </c>
    </row>
    <row r="43">
      <c r="A43" s="50" t="inlineStr">
        <is>
          <t>200#</t>
        </is>
      </c>
      <c r="B43" s="51" t="n"/>
      <c r="C43" s="51" t="n"/>
      <c r="D43" s="51" t="n"/>
      <c r="E43" s="51" t="n"/>
      <c r="F43" s="51" t="n"/>
      <c r="G43" s="51" t="n"/>
      <c r="H43" s="51" t="n"/>
      <c r="I43" s="47" t="inlineStr">
        <is>
          <t>CRS 504</t>
        </is>
      </c>
    </row>
    <row r="44"/>
    <row r="45"/>
    <row r="46"/>
    <row r="47"/>
  </sheetData>
  <mergeCells count="7">
    <mergeCell ref="I43:I47"/>
    <mergeCell ref="A43:H47"/>
    <mergeCell ref="A20:H24"/>
    <mergeCell ref="I25:I42"/>
    <mergeCell ref="A1:H1"/>
    <mergeCell ref="I20:I24"/>
    <mergeCell ref="I2:I19"/>
  </mergeCells>
  <printOptions gridLines="1"/>
  <pageMargins left="0.5" right="0.5" top="0.75" bottom="0.75" header="0.3" footer="0.3"/>
  <pageSetup orientation="portrait" paperSize="9" scale="94" fitToHeight="0" fitToWidth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eskovic</dc:creator>
  <dcterms:created xmlns:dcterms="http://purl.org/dc/terms/" xmlns:xsi="http://www.w3.org/2001/XMLSchema-instance" xsi:type="dcterms:W3CDTF">2011-05-06T04:27:38Z</dcterms:created>
  <dcterms:modified xmlns:dcterms="http://purl.org/dc/terms/" xmlns:xsi="http://www.w3.org/2001/XMLSchema-instance" xsi:type="dcterms:W3CDTF">2026-02-23T03:29:31Z</dcterms:modified>
  <cp:lastModifiedBy>Bartrop-Braybon, Eloise</cp:lastModifiedBy>
  <cp:lastPrinted>2024-07-16T01:40:54Z</cp:lastPrinted>
</cp:coreProperties>
</file>